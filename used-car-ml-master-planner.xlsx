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ster Plan" sheetId="1" state="visible" r:id="rId1"/>
    <sheet xmlns:r="http://schemas.openxmlformats.org/officeDocument/2006/relationships" name="Antigravity Prompts" sheetId="2" state="visible" r:id="rId2"/>
    <sheet xmlns:r="http://schemas.openxmlformats.org/officeDocument/2006/relationships" name="Project Spec" sheetId="3" state="visible" r:id="rId3"/>
    <sheet xmlns:r="http://schemas.openxmlformats.org/officeDocument/2006/relationships" name="Project Structure" sheetId="4" state="visible" r:id="rId4"/>
    <sheet xmlns:r="http://schemas.openxmlformats.org/officeDocument/2006/relationships" name="Deliverable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h:mm\ AM/PM"/>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A4D"/>
      <sz val="14"/>
    </font>
    <font>
      <name val="Arial"/>
      <charset val="1"/>
      <family val="0"/>
      <b val="1"/>
      <color rgb="FF000000"/>
      <sz val="10"/>
    </font>
    <font>
      <name val="Arial"/>
      <charset val="1"/>
      <family val="0"/>
      <b val="1"/>
      <color rgb="FF0000FF"/>
      <sz val="10"/>
    </font>
    <font>
      <name val="Arial"/>
      <charset val="1"/>
      <family val="0"/>
      <color rgb="FF5B6B74"/>
      <sz val="10"/>
    </font>
    <font>
      <name val="Arial"/>
      <charset val="1"/>
      <family val="0"/>
      <color rgb="FF000000"/>
      <sz val="10"/>
    </font>
    <font>
      <name val="Arial"/>
      <charset val="1"/>
      <family val="0"/>
      <b val="1"/>
      <color rgb="FFFFFFFF"/>
      <sz val="10"/>
    </font>
    <font>
      <name val="Arial"/>
      <charset val="1"/>
      <family val="0"/>
      <color rgb="FF0000FF"/>
      <sz val="10"/>
    </font>
    <font>
      <name val="Arial"/>
      <family val="2"/>
      <sz val="10"/>
    </font>
  </fonts>
  <fills count="7">
    <fill>
      <patternFill/>
    </fill>
    <fill>
      <patternFill patternType="gray125"/>
    </fill>
    <fill>
      <patternFill patternType="solid">
        <fgColor rgb="FFFFFF00"/>
        <bgColor rgb="FFFFFF00"/>
      </patternFill>
    </fill>
    <fill>
      <patternFill patternType="solid">
        <fgColor rgb="FFDCEBF7"/>
        <bgColor rgb="FFE8E0F5"/>
      </patternFill>
    </fill>
    <fill>
      <patternFill patternType="solid">
        <fgColor rgb="FFFDE9D2"/>
        <bgColor rgb="FFE8E0F5"/>
      </patternFill>
    </fill>
    <fill>
      <patternFill patternType="solid">
        <fgColor rgb="FFE8E0F5"/>
        <bgColor rgb="FFDCEBF7"/>
      </patternFill>
    </fill>
    <fill>
      <patternFill patternType="solid">
        <fgColor rgb="FF1F3A4D"/>
        <bgColor rgb="FF003366"/>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164" fontId="6" fillId="2" borderId="0" applyAlignment="1" pivotButton="0" quotePrefix="0" xfId="0">
      <alignment horizontal="general" vertical="bottom"/>
    </xf>
    <xf numFmtId="0" fontId="7" fillId="0" borderId="0" applyAlignment="1" pivotButton="0" quotePrefix="0" xfId="0">
      <alignment horizontal="general" vertical="bottom"/>
    </xf>
    <xf numFmtId="9" fontId="5" fillId="0" borderId="0" applyAlignment="1" pivotButton="0" quotePrefix="0" xfId="0">
      <alignment horizontal="general" vertical="bottom"/>
    </xf>
    <xf numFmtId="0" fontId="8" fillId="0" borderId="0" applyAlignment="1" pivotButton="0" quotePrefix="0" xfId="0">
      <alignment horizontal="general" vertical="bottom"/>
    </xf>
    <xf numFmtId="0" fontId="5" fillId="3"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9" fillId="6" borderId="1" applyAlignment="1" pivotButton="0" quotePrefix="0" xfId="0">
      <alignment horizontal="general" vertical="center"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0" fillId="0" borderId="1" applyAlignment="1" pivotButton="0" quotePrefix="0" xfId="0">
      <alignment horizontal="general" vertical="top" wrapText="1"/>
    </xf>
    <xf numFmtId="164"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5"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164" fontId="6" fillId="2" borderId="0" applyAlignment="1" pivotButton="0" quotePrefix="0" xfId="0">
      <alignment horizontal="general" vertical="bottom"/>
    </xf>
    <xf numFmtId="0" fontId="7" fillId="0" borderId="0" applyAlignment="1" pivotButton="0" quotePrefix="0" xfId="0">
      <alignment horizontal="general" vertical="bottom"/>
    </xf>
    <xf numFmtId="9" fontId="5" fillId="0" borderId="0" applyAlignment="1" pivotButton="0" quotePrefix="0" xfId="0">
      <alignment horizontal="general" vertical="bottom"/>
    </xf>
    <xf numFmtId="0" fontId="8" fillId="0" borderId="0" applyAlignment="1" pivotButton="0" quotePrefix="0" xfId="0">
      <alignment horizontal="general" vertical="bottom"/>
    </xf>
    <xf numFmtId="0" fontId="5" fillId="3"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9" fillId="6" borderId="1" applyAlignment="1" pivotButton="0" quotePrefix="0" xfId="0">
      <alignment horizontal="general" vertical="center"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0" fillId="0" borderId="1" applyAlignment="1" pivotButton="0" quotePrefix="0" xfId="0">
      <alignment horizontal="general" vertical="top" wrapText="1"/>
    </xf>
    <xf numFmtId="164"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5" borderId="1" applyAlignment="1" pivotButton="0" quotePrefix="0" xfId="0">
      <alignment horizontal="general" vertical="top" wrapText="1"/>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9D2"/>
      <rgbColor rgb="FFDCEBF7"/>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8E0F5"/>
      <rgbColor rgb="FFC6EFCE"/>
      <rgbColor rgb="FFFFEB9C"/>
      <rgbColor rgb="FF99CCFF"/>
      <rgbColor rgb="FFFF99CC"/>
      <rgbColor rgb="FFCC99FF"/>
      <rgbColor rgb="FFFFC7CE"/>
      <rgbColor rgb="FF3366FF"/>
      <rgbColor rgb="FF33CCCC"/>
      <rgbColor rgb="FF99CC00"/>
      <rgbColor rgb="FFFFCC00"/>
      <rgbColor rgb="FFFF9900"/>
      <rgbColor rgb="FFFF6600"/>
      <rgbColor rgb="FF5B6B74"/>
      <rgbColor rgb="FF969696"/>
      <rgbColor rgb="FF003366"/>
      <rgbColor rgb="FF339966"/>
      <rgbColor rgb="FF003300"/>
      <rgbColor rgb="FF333300"/>
      <rgbColor rgb="FF993300"/>
      <rgbColor rgb="FF993366"/>
      <rgbColor rgb="FF333399"/>
      <rgbColor rgb="FF1F3A4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C2" authorId="0" shapeId="0">
      <text>
        <t>Example start of 10:00 AM. Replace with the time you actually begin; all clock times recalculate.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N43"/>
  <sheetViews>
    <sheetView showFormulas="0" showGridLines="1" showRowColHeaders="1" showZeros="1" rightToLeft="0" tabSelected="1" showOutlineSymbols="1" defaultGridColor="1"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baseColWidth="8" defaultColWidth="8.6796875" defaultRowHeight="15" zeroHeight="0" outlineLevelRow="0"/>
  <cols>
    <col width="6" customWidth="1" style="18" min="1" max="1"/>
    <col width="16" customWidth="1" style="18" min="2" max="2"/>
    <col width="58" customWidth="1" style="18" min="3" max="3"/>
    <col width="13" customWidth="1" style="18" min="4" max="4"/>
    <col width="8" customWidth="1" style="18" min="5" max="5"/>
    <col width="9" customWidth="1" style="18" min="6" max="6"/>
    <col width="10" customWidth="1" style="18" min="7" max="7"/>
    <col width="11" customWidth="1" style="18" min="8" max="9"/>
    <col width="34" customWidth="1" style="18" min="10" max="10"/>
    <col width="13" customWidth="1" style="18" min="11" max="11"/>
    <col width="38" customWidth="1" style="18" min="12" max="12"/>
    <col width="13" customWidth="1" style="18" min="13" max="13"/>
    <col width="28" customWidth="1" style="18" min="14" max="14"/>
  </cols>
  <sheetData>
    <row r="1" ht="17.35" customHeight="1" s="19">
      <c r="A1" s="20" t="inlineStr">
        <is>
          <t>Master Planner: Used Car Price Prediction (one-day execution)</t>
        </is>
      </c>
    </row>
    <row r="2" ht="15" customHeight="1" s="19">
      <c r="A2" s="21" t="inlineStr">
        <is>
          <t>Start time (edit)</t>
        </is>
      </c>
      <c r="C2" s="22" t="n">
        <v>0.4166666666666667</v>
      </c>
      <c r="D2" s="23" t="inlineStr">
        <is>
          <t>Yellow cell = your input. Set Status in column M as you go.</t>
        </is>
      </c>
    </row>
    <row r="3" ht="15" customHeight="1" s="19">
      <c r="A3" s="21" t="inlineStr">
        <is>
          <t>Progress</t>
        </is>
      </c>
      <c r="C3" s="24">
        <f>COUNTIF(M7:M38,"Done")/COUNTA(A7:A38)</f>
        <v/>
      </c>
      <c r="D3" s="25">
        <f>COUNTIF(M7:M38,"Done")&amp;" of "&amp;COUNTA(A7:A38)&amp;" tasks done"</f>
        <v/>
      </c>
    </row>
    <row r="4" ht="15" customHeight="1" s="19">
      <c r="A4" s="21" t="inlineStr">
        <is>
          <t>Owners</t>
        </is>
      </c>
      <c r="C4" s="26" t="inlineStr">
        <is>
          <t>Antigravity</t>
        </is>
      </c>
      <c r="D4" s="27" t="inlineStr">
        <is>
          <t>You</t>
        </is>
      </c>
      <c r="E4" s="28" t="inlineStr">
        <is>
          <t>Claude</t>
        </is>
      </c>
      <c r="F4" s="23" t="inlineStr">
        <is>
          <t>(You + Claude uses the Claude colour)</t>
        </is>
      </c>
    </row>
    <row r="6" ht="23.85" customHeight="1" s="19">
      <c r="A6" s="29" t="inlineStr">
        <is>
          <t>ID</t>
        </is>
      </c>
      <c r="B6" s="29" t="inlineStr">
        <is>
          <t>Block</t>
        </is>
      </c>
      <c r="C6" s="29" t="inlineStr">
        <is>
          <t>Task</t>
        </is>
      </c>
      <c r="D6" s="29" t="inlineStr">
        <is>
          <t>Owner</t>
        </is>
      </c>
      <c r="E6" s="29" t="inlineStr">
        <is>
          <t>Prompt</t>
        </is>
      </c>
      <c r="F6" s="29" t="inlineStr">
        <is>
          <t>Offset (min)</t>
        </is>
      </c>
      <c r="G6" s="29" t="inlineStr">
        <is>
          <t>Duration (min)</t>
        </is>
      </c>
      <c r="H6" s="29" t="inlineStr">
        <is>
          <t>Clock start</t>
        </is>
      </c>
      <c r="I6" s="29" t="inlineStr">
        <is>
          <t>Clock end</t>
        </is>
      </c>
      <c r="J6" s="29" t="inlineStr">
        <is>
          <t>Output / file</t>
        </is>
      </c>
      <c r="K6" s="29" t="inlineStr">
        <is>
          <t>Report section</t>
        </is>
      </c>
      <c r="L6" s="29" t="inlineStr">
        <is>
          <t>Done when</t>
        </is>
      </c>
      <c r="M6" s="29" t="inlineStr">
        <is>
          <t>Status</t>
        </is>
      </c>
      <c r="N6" s="29" t="inlineStr">
        <is>
          <t>Notes</t>
        </is>
      </c>
    </row>
    <row r="7" ht="23.85" customHeight="1" s="19">
      <c r="A7" s="30" t="inlineStr">
        <is>
          <t>A1</t>
        </is>
      </c>
      <c r="B7" s="30" t="inlineStr">
        <is>
          <t>A. Setup</t>
        </is>
      </c>
      <c r="C7" s="30" t="inlineStr">
        <is>
          <t>Download the CarDekho used-car CSV from Kaggle (needs your login) into data/raw/</t>
        </is>
      </c>
      <c r="D7" s="31" t="inlineStr">
        <is>
          <t>You</t>
        </is>
      </c>
      <c r="E7" s="30" t="n"/>
      <c r="F7" s="32" t="n">
        <v>0</v>
      </c>
      <c r="G7" s="32" t="n">
        <v>15</v>
      </c>
      <c r="H7" s="33">
        <f>$C$2+F7/1440</f>
        <v/>
      </c>
      <c r="I7" s="33">
        <f>H7+G7/1440</f>
        <v/>
      </c>
      <c r="J7" s="30" t="inlineStr">
        <is>
          <t>data/raw/&lt;file&gt;.csv</t>
        </is>
      </c>
      <c r="K7" s="30" t="inlineStr">
        <is>
          <t>§8</t>
        </is>
      </c>
      <c r="L7" s="30" t="inlineStr">
        <is>
          <t>File opens in pandas; note the exact file name</t>
        </is>
      </c>
      <c r="M7" s="30" t="inlineStr">
        <is>
          <t>Done</t>
        </is>
      </c>
      <c r="N7" s="30" t="n"/>
    </row>
    <row r="8" ht="23.85" customHeight="1" s="19">
      <c r="A8" s="30" t="inlineStr">
        <is>
          <t>A2</t>
        </is>
      </c>
      <c r="B8" s="30" t="inlineStr">
        <is>
          <t>A. Setup</t>
        </is>
      </c>
      <c r="C8" s="30" t="inlineStr">
        <is>
          <t>Create SPEC.md from the 'Project Spec' sheet and open the project folder in Antigravity</t>
        </is>
      </c>
      <c r="D8" s="31" t="inlineStr">
        <is>
          <t>You</t>
        </is>
      </c>
      <c r="E8" s="30" t="n"/>
      <c r="F8" s="32" t="n">
        <v>0</v>
      </c>
      <c r="G8" s="32" t="n">
        <v>10</v>
      </c>
      <c r="H8" s="33">
        <f>$C$2+F8/1440</f>
        <v/>
      </c>
      <c r="I8" s="33">
        <f>H8+G8/1440</f>
        <v/>
      </c>
      <c r="J8" s="30" t="inlineStr">
        <is>
          <t>SPEC.md</t>
        </is>
      </c>
      <c r="K8" s="30" t="inlineStr">
        <is>
          <t>§14</t>
        </is>
      </c>
      <c r="L8" s="30" t="inlineStr">
        <is>
          <t>Agent can read SPEC.md</t>
        </is>
      </c>
      <c r="M8" s="30" t="inlineStr">
        <is>
          <t>Done</t>
        </is>
      </c>
      <c r="N8" s="30" t="n"/>
    </row>
    <row r="9" ht="15" customHeight="1" s="19">
      <c r="A9" s="30" t="inlineStr">
        <is>
          <t>A3</t>
        </is>
      </c>
      <c r="B9" s="30" t="inlineStr">
        <is>
          <t>A. Setup</t>
        </is>
      </c>
      <c r="C9" s="30" t="inlineStr">
        <is>
          <t>Scaffold repo, virtual env, requirements.txt, folder structure, git init</t>
        </is>
      </c>
      <c r="D9" s="34" t="inlineStr">
        <is>
          <t>Antigravity</t>
        </is>
      </c>
      <c r="E9" s="30" t="inlineStr">
        <is>
          <t>P0</t>
        </is>
      </c>
      <c r="F9" s="32" t="n">
        <v>10</v>
      </c>
      <c r="G9" s="32" t="n">
        <v>20</v>
      </c>
      <c r="H9" s="33">
        <f>$C$2+F9/1440</f>
        <v/>
      </c>
      <c r="I9" s="33">
        <f>H9+G9/1440</f>
        <v/>
      </c>
      <c r="J9" s="30" t="inlineStr">
        <is>
          <t>Folder tree from 'Project Structure'</t>
        </is>
      </c>
      <c r="K9" s="30" t="inlineStr">
        <is>
          <t>§14</t>
        </is>
      </c>
      <c r="L9" s="30" t="inlineStr">
        <is>
          <t>pip install -r requirements.txt succeeds</t>
        </is>
      </c>
      <c r="M9" s="30" t="inlineStr">
        <is>
          <t>Done</t>
        </is>
      </c>
      <c r="N9" s="30" t="n"/>
    </row>
    <row r="10" ht="23.85" customHeight="1" s="19">
      <c r="A10" s="30" t="inlineStr">
        <is>
          <t>B1</t>
        </is>
      </c>
      <c r="B10" s="30" t="inlineStr">
        <is>
          <t>B. Data audit</t>
        </is>
      </c>
      <c r="C10" s="30" t="inlineStr">
        <is>
          <t>Data audit: shape, dtypes, missing counts, duplicates, describe, unique values per categorical</t>
        </is>
      </c>
      <c r="D10" s="34" t="inlineStr">
        <is>
          <t>Antigravity</t>
        </is>
      </c>
      <c r="E10" s="30" t="inlineStr">
        <is>
          <t>P1</t>
        </is>
      </c>
      <c r="F10" s="32" t="n">
        <v>30</v>
      </c>
      <c r="G10" s="32" t="n">
        <v>20</v>
      </c>
      <c r="H10" s="33">
        <f>$C$2+F10/1440</f>
        <v/>
      </c>
      <c r="I10" s="33">
        <f>H10+G10/1440</f>
        <v/>
      </c>
      <c r="J10" s="30" t="inlineStr">
        <is>
          <t>reports/data_audit.md</t>
        </is>
      </c>
      <c r="K10" s="30" t="inlineStr">
        <is>
          <t>§8</t>
        </is>
      </c>
      <c r="L10" s="30" t="inlineStr">
        <is>
          <t>Rows, features, target and missing counts are written down</t>
        </is>
      </c>
      <c r="M10" s="30" t="inlineStr">
        <is>
          <t>Done</t>
        </is>
      </c>
      <c r="N10" s="30" t="n"/>
    </row>
    <row r="11" ht="23.85" customHeight="1" s="19">
      <c r="A11" s="30" t="inlineStr">
        <is>
          <t>B2</t>
        </is>
      </c>
      <c r="B11" s="30" t="inlineStr">
        <is>
          <t>B. Data audit</t>
        </is>
      </c>
      <c r="C11" s="30" t="inlineStr">
        <is>
          <t>EDA figures: price distribution (raw and log), price vs age, price vs km, price by fuel / transmission / owner, correlation heatmap</t>
        </is>
      </c>
      <c r="D11" s="34" t="inlineStr">
        <is>
          <t>Antigravity</t>
        </is>
      </c>
      <c r="E11" s="30" t="inlineStr">
        <is>
          <t>P2</t>
        </is>
      </c>
      <c r="F11" s="32" t="n">
        <v>30</v>
      </c>
      <c r="G11" s="32" t="n">
        <v>30</v>
      </c>
      <c r="H11" s="33">
        <f>$C$2+F11/1440</f>
        <v/>
      </c>
      <c r="I11" s="33">
        <f>H11+G11/1440</f>
        <v/>
      </c>
      <c r="J11" s="30" t="inlineStr">
        <is>
          <t>figures/eda_*.png</t>
        </is>
      </c>
      <c r="K11" s="30" t="inlineStr">
        <is>
          <t>Figures</t>
        </is>
      </c>
      <c r="L11" s="30" t="inlineStr">
        <is>
          <t>6+ PNGs saved at 200 dpi</t>
        </is>
      </c>
      <c r="M11" s="30" t="inlineStr">
        <is>
          <t>Done</t>
        </is>
      </c>
      <c r="N11" s="30" t="n"/>
    </row>
    <row r="12" ht="23.85" customHeight="1" s="19">
      <c r="A12" s="30" t="inlineStr">
        <is>
          <t>B3</t>
        </is>
      </c>
      <c r="B12" s="30" t="inlineStr">
        <is>
          <t>B. Data audit</t>
        </is>
      </c>
      <c r="C12" s="30" t="inlineStr">
        <is>
          <t>Review audit and EDA; decide duplicates, rare-brand grouping, and what to do with torque; log decisions</t>
        </is>
      </c>
      <c r="D12" s="31" t="inlineStr">
        <is>
          <t>You</t>
        </is>
      </c>
      <c r="E12" s="30" t="n"/>
      <c r="F12" s="32" t="n">
        <v>60</v>
      </c>
      <c r="G12" s="32" t="n">
        <v>20</v>
      </c>
      <c r="H12" s="33">
        <f>$C$2+F12/1440</f>
        <v/>
      </c>
      <c r="I12" s="33">
        <f>H12+G12/1440</f>
        <v/>
      </c>
      <c r="J12" s="30" t="inlineStr">
        <is>
          <t>reports/decisions.md</t>
        </is>
      </c>
      <c r="K12" s="30" t="inlineStr">
        <is>
          <t>§9</t>
        </is>
      </c>
      <c r="L12" s="30" t="inlineStr">
        <is>
          <t>Every cleaning decision has one line of reasoning</t>
        </is>
      </c>
      <c r="M12" s="30" t="inlineStr">
        <is>
          <t>Done</t>
        </is>
      </c>
      <c r="N12" s="30" t="n"/>
    </row>
    <row r="13" ht="23.85" customHeight="1" s="19">
      <c r="A13" s="30" t="inlineStr">
        <is>
          <t>C1</t>
        </is>
      </c>
      <c r="B13" s="30" t="inlineStr">
        <is>
          <t>C. Preprocessing</t>
        </is>
      </c>
      <c r="C13" s="30" t="inlineStr">
        <is>
          <t>Parse mileage, engine, max_power (strip units); extract brand from name; create car_age and km_per_year</t>
        </is>
      </c>
      <c r="D13" s="34" t="inlineStr">
        <is>
          <t>Antigravity</t>
        </is>
      </c>
      <c r="E13" s="30" t="inlineStr">
        <is>
          <t>P3</t>
        </is>
      </c>
      <c r="F13" s="32" t="n">
        <v>80</v>
      </c>
      <c r="G13" s="32" t="n">
        <v>40</v>
      </c>
      <c r="H13" s="33">
        <f>$C$2+F13/1440</f>
        <v/>
      </c>
      <c r="I13" s="33">
        <f>H13+G13/1440</f>
        <v/>
      </c>
      <c r="J13" s="30" t="inlineStr">
        <is>
          <t>src/features.py</t>
        </is>
      </c>
      <c r="K13" s="30" t="inlineStr">
        <is>
          <t>§9</t>
        </is>
      </c>
      <c r="L13" s="30" t="inlineStr">
        <is>
          <t>No object columns left that should be numeric</t>
        </is>
      </c>
      <c r="M13" s="30" t="inlineStr">
        <is>
          <t>Done</t>
        </is>
      </c>
      <c r="N13" s="30" t="n"/>
    </row>
    <row r="14" ht="23.85" customHeight="1" s="19">
      <c r="A14" s="30" t="inlineStr">
        <is>
          <t>C2</t>
        </is>
      </c>
      <c r="B14" s="30" t="inlineStr">
        <is>
          <t>C. Preprocessing</t>
        </is>
      </c>
      <c r="C14" s="30" t="inlineStr">
        <is>
          <t>Pipeline: train/test split first, then outlier capping, median/mode imputation, one-hot encoding, scaling (linear models only), log1p target</t>
        </is>
      </c>
      <c r="D14" s="34" t="inlineStr">
        <is>
          <t>Antigravity</t>
        </is>
      </c>
      <c r="E14" s="30" t="inlineStr">
        <is>
          <t>P4</t>
        </is>
      </c>
      <c r="F14" s="32" t="n">
        <v>120</v>
      </c>
      <c r="G14" s="32" t="n">
        <v>30</v>
      </c>
      <c r="H14" s="33">
        <f>$C$2+F14/1440</f>
        <v/>
      </c>
      <c r="I14" s="33">
        <f>H14+G14/1440</f>
        <v/>
      </c>
      <c r="J14" s="30" t="inlineStr">
        <is>
          <t>src/preprocess.py, data/processed/train.csv, test.csv</t>
        </is>
      </c>
      <c r="K14" s="30" t="inlineStr">
        <is>
          <t>§9</t>
        </is>
      </c>
      <c r="L14" s="30" t="inlineStr">
        <is>
          <t>Counts before/after for missing and outliers printed; no leakage</t>
        </is>
      </c>
      <c r="M14" s="30" t="inlineStr">
        <is>
          <t>Done</t>
        </is>
      </c>
      <c r="N14" s="30" t="n"/>
    </row>
    <row r="15" ht="23.85" customHeight="1" s="19">
      <c r="A15" s="30" t="inlineStr">
        <is>
          <t>C3</t>
        </is>
      </c>
      <c r="B15" s="30" t="inlineStr">
        <is>
          <t>C. Preprocessing</t>
        </is>
      </c>
      <c r="C15" s="30" t="inlineStr">
        <is>
          <t>Sanity check processed data: shapes, no NaNs, target range, a few random rows by eye</t>
        </is>
      </c>
      <c r="D15" s="31" t="inlineStr">
        <is>
          <t>You</t>
        </is>
      </c>
      <c r="E15" s="30" t="n"/>
      <c r="F15" s="32" t="n">
        <v>150</v>
      </c>
      <c r="G15" s="32" t="n">
        <v>15</v>
      </c>
      <c r="H15" s="33">
        <f>$C$2+F15/1440</f>
        <v/>
      </c>
      <c r="I15" s="33">
        <f>H15+G15/1440</f>
        <v/>
      </c>
      <c r="J15" s="30" t="inlineStr">
        <is>
          <t>Notes in reports/decisions.md</t>
        </is>
      </c>
      <c r="K15" s="30" t="inlineStr">
        <is>
          <t>§9</t>
        </is>
      </c>
      <c r="L15" s="30" t="inlineStr">
        <is>
          <t>Shapes and ranges look sane</t>
        </is>
      </c>
      <c r="M15" s="30" t="inlineStr">
        <is>
          <t>Done</t>
        </is>
      </c>
      <c r="N15" s="30" t="n"/>
    </row>
    <row r="16" ht="15" customHeight="1" s="19">
      <c r="A16" s="30" t="inlineStr">
        <is>
          <t>D1</t>
        </is>
      </c>
      <c r="B16" s="30" t="inlineStr">
        <is>
          <t>D. Modeling</t>
        </is>
      </c>
      <c r="C16" s="30" t="inlineStr">
        <is>
          <t>Baseline Linear Regression with 5-fold CV</t>
        </is>
      </c>
      <c r="D16" s="34" t="inlineStr">
        <is>
          <t>Antigravity</t>
        </is>
      </c>
      <c r="E16" s="30" t="inlineStr">
        <is>
          <t>P5</t>
        </is>
      </c>
      <c r="F16" s="32" t="n">
        <v>165</v>
      </c>
      <c r="G16" s="32" t="n">
        <v>20</v>
      </c>
      <c r="H16" s="33">
        <f>$C$2+F16/1440</f>
        <v/>
      </c>
      <c r="I16" s="33">
        <f>H16+G16/1440</f>
        <v/>
      </c>
      <c r="J16" s="30" t="inlineStr">
        <is>
          <t>src/train_linear.py</t>
        </is>
      </c>
      <c r="K16" s="30" t="inlineStr">
        <is>
          <t>§10</t>
        </is>
      </c>
      <c r="L16" s="30" t="inlineStr">
        <is>
          <t>CV R² and RMSE recorded</t>
        </is>
      </c>
      <c r="M16" s="30" t="inlineStr">
        <is>
          <t>Done</t>
        </is>
      </c>
      <c r="N16" s="30" t="n"/>
    </row>
    <row r="17" ht="15" customHeight="1" s="19">
      <c r="A17" s="30" t="inlineStr">
        <is>
          <t>D2</t>
        </is>
      </c>
      <c r="B17" s="30" t="inlineStr">
        <is>
          <t>D. Modeling</t>
        </is>
      </c>
      <c r="C17" s="30" t="inlineStr">
        <is>
          <t>Ridge and Lasso tuned with GridSearchCV over alpha</t>
        </is>
      </c>
      <c r="D17" s="34" t="inlineStr">
        <is>
          <t>Antigravity</t>
        </is>
      </c>
      <c r="E17" s="30" t="inlineStr">
        <is>
          <t>P5</t>
        </is>
      </c>
      <c r="F17" s="32" t="n">
        <v>185</v>
      </c>
      <c r="G17" s="32" t="n">
        <v>25</v>
      </c>
      <c r="H17" s="33">
        <f>$C$2+F17/1440</f>
        <v/>
      </c>
      <c r="I17" s="33">
        <f>H17+G17/1440</f>
        <v/>
      </c>
      <c r="J17" s="30" t="inlineStr">
        <is>
          <t>results/ridge_lasso.json</t>
        </is>
      </c>
      <c r="K17" s="30" t="inlineStr">
        <is>
          <t>§10</t>
        </is>
      </c>
      <c r="L17" s="30" t="inlineStr">
        <is>
          <t>Best alpha and CV scores recorded</t>
        </is>
      </c>
      <c r="M17" s="30" t="inlineStr">
        <is>
          <t>Done</t>
        </is>
      </c>
      <c r="N17" s="30" t="n"/>
    </row>
    <row r="18" ht="15" customHeight="1" s="19">
      <c r="A18" s="30" t="inlineStr">
        <is>
          <t>D3</t>
        </is>
      </c>
      <c r="B18" s="30" t="inlineStr">
        <is>
          <t>D. Modeling</t>
        </is>
      </c>
      <c r="C18" s="30" t="inlineStr">
        <is>
          <t>Regression Tree tuned (max_depth, min_samples_leaf)</t>
        </is>
      </c>
      <c r="D18" s="34" t="inlineStr">
        <is>
          <t>Antigravity</t>
        </is>
      </c>
      <c r="E18" s="30" t="inlineStr">
        <is>
          <t>P6</t>
        </is>
      </c>
      <c r="F18" s="32" t="n">
        <v>185</v>
      </c>
      <c r="G18" s="32" t="n">
        <v>25</v>
      </c>
      <c r="H18" s="33">
        <f>$C$2+F18/1440</f>
        <v/>
      </c>
      <c r="I18" s="33">
        <f>H18+G18/1440</f>
        <v/>
      </c>
      <c r="J18" s="30" t="inlineStr">
        <is>
          <t>results/tree.json</t>
        </is>
      </c>
      <c r="K18" s="30" t="inlineStr">
        <is>
          <t>§10</t>
        </is>
      </c>
      <c r="L18" s="30" t="inlineStr">
        <is>
          <t>Best params and CV scores recorded</t>
        </is>
      </c>
      <c r="M18" s="30" t="inlineStr">
        <is>
          <t>Done</t>
        </is>
      </c>
      <c r="N18" s="30" t="n"/>
    </row>
    <row r="19" ht="15" customHeight="1" s="19">
      <c r="A19" s="30" t="inlineStr">
        <is>
          <t>D4</t>
        </is>
      </c>
      <c r="B19" s="30" t="inlineStr">
        <is>
          <t>D. Modeling</t>
        </is>
      </c>
      <c r="C19" s="30" t="inlineStr">
        <is>
          <t>Random Forest tuned with RandomizedSearchCV</t>
        </is>
      </c>
      <c r="D19" s="34" t="inlineStr">
        <is>
          <t>Antigravity</t>
        </is>
      </c>
      <c r="E19" s="30" t="inlineStr">
        <is>
          <t>P6</t>
        </is>
      </c>
      <c r="F19" s="32" t="n">
        <v>210</v>
      </c>
      <c r="G19" s="32" t="n">
        <v>35</v>
      </c>
      <c r="H19" s="33">
        <f>$C$2+F19/1440</f>
        <v/>
      </c>
      <c r="I19" s="33">
        <f>H19+G19/1440</f>
        <v/>
      </c>
      <c r="J19" s="30" t="inlineStr">
        <is>
          <t>results/rf.json</t>
        </is>
      </c>
      <c r="K19" s="30" t="inlineStr">
        <is>
          <t>§10</t>
        </is>
      </c>
      <c r="L19" s="30" t="inlineStr">
        <is>
          <t>Best params and CV scores recorded</t>
        </is>
      </c>
      <c r="M19" s="30" t="inlineStr">
        <is>
          <t>Done</t>
        </is>
      </c>
      <c r="N19" s="30" t="n"/>
    </row>
    <row r="20" ht="15" customHeight="1" s="19">
      <c r="A20" s="30" t="inlineStr">
        <is>
          <t>D5</t>
        </is>
      </c>
      <c r="B20" s="30" t="inlineStr">
        <is>
          <t>D. Modeling</t>
        </is>
      </c>
      <c r="C20" s="30" t="inlineStr">
        <is>
          <t>Gradient Boosting tuned with RandomizedSearchCV</t>
        </is>
      </c>
      <c r="D20" s="34" t="inlineStr">
        <is>
          <t>Antigravity</t>
        </is>
      </c>
      <c r="E20" s="30" t="inlineStr">
        <is>
          <t>P6</t>
        </is>
      </c>
      <c r="F20" s="32" t="n">
        <v>210</v>
      </c>
      <c r="G20" s="32" t="n">
        <v>35</v>
      </c>
      <c r="H20" s="33">
        <f>$C$2+F20/1440</f>
        <v/>
      </c>
      <c r="I20" s="33">
        <f>H20+G20/1440</f>
        <v/>
      </c>
      <c r="J20" s="30" t="inlineStr">
        <is>
          <t>results/gb.json</t>
        </is>
      </c>
      <c r="K20" s="30" t="inlineStr">
        <is>
          <t>§10</t>
        </is>
      </c>
      <c r="L20" s="30" t="inlineStr">
        <is>
          <t>Best params and CV scores recorded</t>
        </is>
      </c>
      <c r="M20" s="30" t="inlineStr">
        <is>
          <t>Done</t>
        </is>
      </c>
      <c r="N20" s="30" t="n"/>
    </row>
    <row r="21" ht="23.85" customHeight="1" s="19">
      <c r="A21" s="30" t="inlineStr">
        <is>
          <t>D6</t>
        </is>
      </c>
      <c r="B21" s="30" t="inlineStr">
        <is>
          <t>D. Modeling</t>
        </is>
      </c>
      <c r="C21" s="30" t="inlineStr">
        <is>
          <t>Merge all results into one comparison table; save fitted models with joblib</t>
        </is>
      </c>
      <c r="D21" s="34" t="inlineStr">
        <is>
          <t>Antigravity</t>
        </is>
      </c>
      <c r="E21" s="30" t="inlineStr">
        <is>
          <t>P7</t>
        </is>
      </c>
      <c r="F21" s="32" t="n">
        <v>245</v>
      </c>
      <c r="G21" s="32" t="n">
        <v>15</v>
      </c>
      <c r="H21" s="33">
        <f>$C$2+F21/1440</f>
        <v/>
      </c>
      <c r="I21" s="33">
        <f>H21+G21/1440</f>
        <v/>
      </c>
      <c r="J21" s="30" t="inlineStr">
        <is>
          <t>results/model_comparison.csv, models/*.joblib</t>
        </is>
      </c>
      <c r="K21" s="30" t="inlineStr">
        <is>
          <t>§13</t>
        </is>
      </c>
      <c r="L21" s="30" t="inlineStr">
        <is>
          <t>One row per model: CV R², test R², RMSE, MAE</t>
        </is>
      </c>
      <c r="M21" s="30" t="inlineStr">
        <is>
          <t>Done</t>
        </is>
      </c>
      <c r="N21" s="30" t="n"/>
    </row>
    <row r="22" ht="23.85" customHeight="1" s="19">
      <c r="A22" s="30" t="inlineStr">
        <is>
          <t>L1</t>
        </is>
      </c>
      <c r="B22" s="30" t="inlineStr">
        <is>
          <t>Parallel: writing</t>
        </is>
      </c>
      <c r="C22" s="30" t="inlineStr">
        <is>
          <t>Literature survey: 8-10 papers, table with year / method / dataset / results, plus the research gap</t>
        </is>
      </c>
      <c r="D22" s="35" t="inlineStr">
        <is>
          <t>You + Claude</t>
        </is>
      </c>
      <c r="E22" s="30" t="n"/>
      <c r="F22" s="32" t="n">
        <v>165</v>
      </c>
      <c r="G22" s="32" t="n">
        <v>90</v>
      </c>
      <c r="H22" s="33">
        <f>$C$2+F22/1440</f>
        <v/>
      </c>
      <c r="I22" s="33">
        <f>H22+G22/1440</f>
        <v/>
      </c>
      <c r="J22" s="30" t="inlineStr">
        <is>
          <t>docs/literature_table</t>
        </is>
      </c>
      <c r="K22" s="30" t="inlineStr">
        <is>
          <t>§5</t>
        </is>
      </c>
      <c r="L22" s="30" t="inlineStr">
        <is>
          <t>Table complete; gap statement written</t>
        </is>
      </c>
      <c r="M22" s="30" t="inlineStr">
        <is>
          <t>Done</t>
        </is>
      </c>
      <c r="N22" s="30" t="n"/>
    </row>
    <row r="23" ht="23.85" customHeight="1" s="19">
      <c r="A23" s="30" t="inlineStr">
        <is>
          <t>E1</t>
        </is>
      </c>
      <c r="B23" s="30" t="inlineStr">
        <is>
          <t>E. Evaluation</t>
        </is>
      </c>
      <c r="C23" s="30" t="inlineStr">
        <is>
          <t>Metrics on log and rupee scale; model comparison bar chart; residual plots; predicted vs actual for best two models</t>
        </is>
      </c>
      <c r="D23" s="34" t="inlineStr">
        <is>
          <t>Antigravity</t>
        </is>
      </c>
      <c r="E23" s="30" t="inlineStr">
        <is>
          <t>P8</t>
        </is>
      </c>
      <c r="F23" s="32" t="n">
        <v>260</v>
      </c>
      <c r="G23" s="32" t="n">
        <v>45</v>
      </c>
      <c r="H23" s="33">
        <f>$C$2+F23/1440</f>
        <v/>
      </c>
      <c r="I23" s="33">
        <f>H23+G23/1440</f>
        <v/>
      </c>
      <c r="J23" s="30" t="inlineStr">
        <is>
          <t>figures/eval_*.png</t>
        </is>
      </c>
      <c r="K23" s="30" t="inlineStr">
        <is>
          <t>§13</t>
        </is>
      </c>
      <c r="L23" s="30" t="inlineStr">
        <is>
          <t>All figures saved; metrics match model_comparison.csv</t>
        </is>
      </c>
      <c r="M23" s="30" t="inlineStr">
        <is>
          <t>Done</t>
        </is>
      </c>
      <c r="N23" s="30" t="n"/>
    </row>
    <row r="24" ht="23.85" customHeight="1" s="19">
      <c r="A24" s="30" t="inlineStr">
        <is>
          <t>E2</t>
        </is>
      </c>
      <c r="B24" s="30" t="inlineStr">
        <is>
          <t>E. Evaluation</t>
        </is>
      </c>
      <c r="C24" s="30" t="inlineStr">
        <is>
          <t>Interpretability: Ridge vs Lasso coefficients, RF/GB feature importance, permutation importance on test set</t>
        </is>
      </c>
      <c r="D24" s="34" t="inlineStr">
        <is>
          <t>Antigravity</t>
        </is>
      </c>
      <c r="E24" s="30" t="inlineStr">
        <is>
          <t>P9</t>
        </is>
      </c>
      <c r="F24" s="32" t="n">
        <v>260</v>
      </c>
      <c r="G24" s="32" t="n">
        <v>45</v>
      </c>
      <c r="H24" s="33">
        <f>$C$2+F24/1440</f>
        <v/>
      </c>
      <c r="I24" s="33">
        <f>H24+G24/1440</f>
        <v/>
      </c>
      <c r="J24" s="30" t="inlineStr">
        <is>
          <t>figures/interp_*.png</t>
        </is>
      </c>
      <c r="K24" s="30" t="inlineStr">
        <is>
          <t>§13</t>
        </is>
      </c>
      <c r="L24" s="30" t="inlineStr">
        <is>
          <t>Top 10 features per model listed</t>
        </is>
      </c>
      <c r="M24" s="30" t="inlineStr">
        <is>
          <t>Done</t>
        </is>
      </c>
      <c r="N24" s="30" t="n"/>
    </row>
    <row r="25" ht="23.85" customHeight="1" s="19">
      <c r="A25" s="30" t="inlineStr">
        <is>
          <t>E3</t>
        </is>
      </c>
      <c r="B25" s="30" t="inlineStr">
        <is>
          <t>E. Evaluation</t>
        </is>
      </c>
      <c r="C25" s="30" t="inlineStr">
        <is>
          <t>Error analysis by price band, brand group, and age band; ablation with/without engineered features</t>
        </is>
      </c>
      <c r="D25" s="34" t="inlineStr">
        <is>
          <t>Antigravity</t>
        </is>
      </c>
      <c r="E25" s="30" t="inlineStr">
        <is>
          <t>P10</t>
        </is>
      </c>
      <c r="F25" s="32" t="n">
        <v>305</v>
      </c>
      <c r="G25" s="32" t="n">
        <v>30</v>
      </c>
      <c r="H25" s="33">
        <f>$C$2+F25/1440</f>
        <v/>
      </c>
      <c r="I25" s="33">
        <f>H25+G25/1440</f>
        <v/>
      </c>
      <c r="J25" s="30" t="inlineStr">
        <is>
          <t>results/error_analysis.csv, results/ablation.csv</t>
        </is>
      </c>
      <c r="K25" s="30" t="inlineStr">
        <is>
          <t>§13</t>
        </is>
      </c>
      <c r="L25" s="30" t="inlineStr">
        <is>
          <t>Worst-error segments identified</t>
        </is>
      </c>
      <c r="M25" s="30" t="inlineStr">
        <is>
          <t>Done</t>
        </is>
      </c>
      <c r="N25" s="30" t="n"/>
    </row>
    <row r="26" ht="23.85" customHeight="1" s="19">
      <c r="A26" s="30" t="inlineStr">
        <is>
          <t>E4</t>
        </is>
      </c>
      <c r="B26" s="30" t="inlineStr">
        <is>
          <t>E. Evaluation</t>
        </is>
      </c>
      <c r="C26" s="30" t="inlineStr">
        <is>
          <t>Review all outputs; check numbers are believable (R² near 1.0 means leakage); note the story in 5 bullets</t>
        </is>
      </c>
      <c r="D26" s="31" t="inlineStr">
        <is>
          <t>You</t>
        </is>
      </c>
      <c r="E26" s="30" t="n"/>
      <c r="F26" s="32" t="n">
        <v>335</v>
      </c>
      <c r="G26" s="32" t="n">
        <v>20</v>
      </c>
      <c r="H26" s="33">
        <f>$C$2+F26/1440</f>
        <v/>
      </c>
      <c r="I26" s="33">
        <f>H26+G26/1440</f>
        <v/>
      </c>
      <c r="J26" s="30" t="inlineStr">
        <is>
          <t>reports/findings.md</t>
        </is>
      </c>
      <c r="K26" s="30" t="inlineStr">
        <is>
          <t>§13</t>
        </is>
      </c>
      <c r="L26" s="30" t="inlineStr">
        <is>
          <t>Five-bullet findings summary</t>
        </is>
      </c>
      <c r="M26" s="30" t="inlineStr">
        <is>
          <t>Done</t>
        </is>
      </c>
      <c r="N26" s="30" t="n"/>
    </row>
    <row r="27" ht="23.85" customHeight="1" s="19">
      <c r="A27" s="30" t="inlineStr">
        <is>
          <t>W1</t>
        </is>
      </c>
      <c r="B27" s="30" t="inlineStr">
        <is>
          <t>Parallel: writing</t>
        </is>
      </c>
      <c r="C27" s="30" t="inlineStr">
        <is>
          <t>Draft §1-4 and §6-7: title, problem, motivation, objectives, existing and proposed system</t>
        </is>
      </c>
      <c r="D27" s="35" t="inlineStr">
        <is>
          <t>You + Claude</t>
        </is>
      </c>
      <c r="E27" s="30" t="n"/>
      <c r="F27" s="32" t="n">
        <v>255</v>
      </c>
      <c r="G27" s="32" t="n">
        <v>60</v>
      </c>
      <c r="H27" s="33">
        <f>$C$2+F27/1440</f>
        <v/>
      </c>
      <c r="I27" s="33">
        <f>H27+G27/1440</f>
        <v/>
      </c>
      <c r="J27" s="30" t="inlineStr">
        <is>
          <t>docs/report_draft</t>
        </is>
      </c>
      <c r="K27" s="30" t="inlineStr">
        <is>
          <t>§1-4, 6-7</t>
        </is>
      </c>
      <c r="L27" s="30" t="inlineStr">
        <is>
          <t>Draft text exists for all six sections</t>
        </is>
      </c>
      <c r="M27" s="30" t="inlineStr">
        <is>
          <t>Done</t>
        </is>
      </c>
      <c r="N27" s="30" t="n"/>
    </row>
    <row r="28" ht="23.85" customHeight="1" s="19">
      <c r="A28" s="30" t="inlineStr">
        <is>
          <t>G1</t>
        </is>
      </c>
      <c r="B28" s="30" t="inlineStr">
        <is>
          <t>G. Packaging</t>
        </is>
      </c>
      <c r="C28" s="30" t="inlineStr">
        <is>
          <t>Consolidate into notebooks/main.ipynb that imports from src/ and runs top to bottom on Colab</t>
        </is>
      </c>
      <c r="D28" s="34" t="inlineStr">
        <is>
          <t>Antigravity</t>
        </is>
      </c>
      <c r="E28" s="30" t="inlineStr">
        <is>
          <t>P11</t>
        </is>
      </c>
      <c r="F28" s="32" t="n">
        <v>355</v>
      </c>
      <c r="G28" s="32" t="n">
        <v>30</v>
      </c>
      <c r="H28" s="33">
        <f>$C$2+F28/1440</f>
        <v/>
      </c>
      <c r="I28" s="33">
        <f>H28+G28/1440</f>
        <v/>
      </c>
      <c r="J28" s="30" t="inlineStr">
        <is>
          <t>notebooks/main.ipynb</t>
        </is>
      </c>
      <c r="K28" s="30" t="inlineStr">
        <is>
          <t>§14</t>
        </is>
      </c>
      <c r="L28" s="30" t="inlineStr">
        <is>
          <t>Restart and run all passes with no errors</t>
        </is>
      </c>
      <c r="M28" s="30" t="inlineStr">
        <is>
          <t>Done</t>
        </is>
      </c>
      <c r="N28" s="30" t="n"/>
    </row>
    <row r="29" ht="23.85" customHeight="1" s="19">
      <c r="A29" s="30" t="inlineStr">
        <is>
          <t>F1</t>
        </is>
      </c>
      <c r="B29" s="30" t="inlineStr">
        <is>
          <t>F. Report</t>
        </is>
      </c>
      <c r="C29" s="30" t="inlineStr">
        <is>
          <t>§8-10: dataset description, preprocessing plan, algorithms, from data_audit.md and decisions.md</t>
        </is>
      </c>
      <c r="D29" s="35" t="inlineStr">
        <is>
          <t>You + Claude</t>
        </is>
      </c>
      <c r="E29" s="30" t="n"/>
      <c r="F29" s="32" t="n">
        <v>355</v>
      </c>
      <c r="G29" s="32" t="n">
        <v>45</v>
      </c>
      <c r="H29" s="33">
        <f>$C$2+F29/1440</f>
        <v/>
      </c>
      <c r="I29" s="33">
        <f>H29+G29/1440</f>
        <v/>
      </c>
      <c r="J29" s="30" t="inlineStr">
        <is>
          <t>docs/report_draft</t>
        </is>
      </c>
      <c r="K29" s="30" t="inlineStr">
        <is>
          <t>§8-10</t>
        </is>
      </c>
      <c r="L29" s="30" t="inlineStr">
        <is>
          <t>Real counts and decisions, not placeholders</t>
        </is>
      </c>
      <c r="M29" s="30" t="inlineStr">
        <is>
          <t>Done</t>
        </is>
      </c>
      <c r="N29" s="30" t="n"/>
    </row>
    <row r="30" ht="15" customHeight="1" s="19">
      <c r="A30" s="30" t="inlineStr">
        <is>
          <t>G2</t>
        </is>
      </c>
      <c r="B30" s="30" t="inlineStr">
        <is>
          <t>G. Packaging</t>
        </is>
      </c>
      <c r="C30" s="30" t="inlineStr">
        <is>
          <t>Create a 100-row sample of the raw dataset for submission</t>
        </is>
      </c>
      <c r="D30" s="34" t="inlineStr">
        <is>
          <t>Antigravity</t>
        </is>
      </c>
      <c r="E30" s="30" t="inlineStr">
        <is>
          <t>P12</t>
        </is>
      </c>
      <c r="F30" s="32" t="n">
        <v>385</v>
      </c>
      <c r="G30" s="32" t="n">
        <v>10</v>
      </c>
      <c r="H30" s="33">
        <f>$C$2+F30/1440</f>
        <v/>
      </c>
      <c r="I30" s="33">
        <f>H30+G30/1440</f>
        <v/>
      </c>
      <c r="J30" s="30" t="inlineStr">
        <is>
          <t>data/sample/sample_100.csv</t>
        </is>
      </c>
      <c r="K30" s="30" t="inlineStr">
        <is>
          <t>Deliverable</t>
        </is>
      </c>
      <c r="L30" s="30" t="inlineStr">
        <is>
          <t>File saved and opens cleanly</t>
        </is>
      </c>
      <c r="M30" s="30" t="inlineStr">
        <is>
          <t>Done</t>
        </is>
      </c>
      <c r="N30" s="30" t="n"/>
    </row>
    <row r="31" ht="23.85" customHeight="1" s="19">
      <c r="A31" s="30" t="inlineStr">
        <is>
          <t>F2</t>
        </is>
      </c>
      <c r="B31" s="30" t="inlineStr">
        <is>
          <t>F. Report</t>
        </is>
      </c>
      <c r="C31" s="30" t="inlineStr">
        <is>
          <t>§11-12: architecture and workflow diagram (Mermaid or draw.io) plus the written workflow</t>
        </is>
      </c>
      <c r="D31" s="35" t="inlineStr">
        <is>
          <t>You + Claude</t>
        </is>
      </c>
      <c r="E31" s="30" t="n"/>
      <c r="F31" s="32" t="n">
        <v>400</v>
      </c>
      <c r="G31" s="32" t="n">
        <v>30</v>
      </c>
      <c r="H31" s="33">
        <f>$C$2+F31/1440</f>
        <v/>
      </c>
      <c r="I31" s="33">
        <f>H31+G31/1440</f>
        <v/>
      </c>
      <c r="J31" s="30" t="inlineStr">
        <is>
          <t>figures/architecture.png</t>
        </is>
      </c>
      <c r="K31" s="30" t="inlineStr">
        <is>
          <t>§11-12</t>
        </is>
      </c>
      <c r="L31" s="30" t="inlineStr">
        <is>
          <t>Diagram matches what the code actually does</t>
        </is>
      </c>
      <c r="M31" s="30" t="inlineStr">
        <is>
          <t>Done</t>
        </is>
      </c>
      <c r="N31" s="30" t="n"/>
    </row>
    <row r="32" ht="23.85" customHeight="1" s="19">
      <c r="A32" s="30" t="inlineStr">
        <is>
          <t>F3</t>
        </is>
      </c>
      <c r="B32" s="30" t="inlineStr">
        <is>
          <t>F. Report</t>
        </is>
      </c>
      <c r="C32" s="30" t="inlineStr">
        <is>
          <t>§13: results and discussion from model_comparison.csv, figures, and findings.md</t>
        </is>
      </c>
      <c r="D32" s="35" t="inlineStr">
        <is>
          <t>You + Claude</t>
        </is>
      </c>
      <c r="E32" s="30" t="n"/>
      <c r="F32" s="32" t="n">
        <v>430</v>
      </c>
      <c r="G32" s="32" t="n">
        <v>40</v>
      </c>
      <c r="H32" s="33">
        <f>$C$2+F32/1440</f>
        <v/>
      </c>
      <c r="I32" s="33">
        <f>H32+G32/1440</f>
        <v/>
      </c>
      <c r="J32" s="30" t="inlineStr">
        <is>
          <t>docs/report_draft</t>
        </is>
      </c>
      <c r="K32" s="30" t="inlineStr">
        <is>
          <t>§13</t>
        </is>
      </c>
      <c r="L32" s="30" t="inlineStr">
        <is>
          <t>Every claim points to a table or figure</t>
        </is>
      </c>
      <c r="M32" s="30" t="inlineStr">
        <is>
          <t>Done</t>
        </is>
      </c>
      <c r="N32" s="30" t="n"/>
    </row>
    <row r="33" ht="15" customHeight="1" s="19">
      <c r="A33" s="30" t="inlineStr">
        <is>
          <t>F4</t>
        </is>
      </c>
      <c r="B33" s="30" t="inlineStr">
        <is>
          <t>F. Report</t>
        </is>
      </c>
      <c r="C33" s="30" t="inlineStr">
        <is>
          <t>§14-15: tools list and timeline</t>
        </is>
      </c>
      <c r="D33" s="35" t="inlineStr">
        <is>
          <t>You + Claude</t>
        </is>
      </c>
      <c r="E33" s="30" t="n"/>
      <c r="F33" s="32" t="n">
        <v>470</v>
      </c>
      <c r="G33" s="32" t="n">
        <v>20</v>
      </c>
      <c r="H33" s="33">
        <f>$C$2+F33/1440</f>
        <v/>
      </c>
      <c r="I33" s="33">
        <f>H33+G33/1440</f>
        <v/>
      </c>
      <c r="J33" s="30" t="inlineStr">
        <is>
          <t>docs/report_draft</t>
        </is>
      </c>
      <c r="K33" s="30" t="inlineStr">
        <is>
          <t>§14-15</t>
        </is>
      </c>
      <c r="L33" s="30" t="inlineStr">
        <is>
          <t>Matches the stack in SPEC.md</t>
        </is>
      </c>
      <c r="M33" s="30" t="inlineStr">
        <is>
          <t>Done</t>
        </is>
      </c>
      <c r="N33" s="30" t="n"/>
    </row>
    <row r="34" ht="15" customHeight="1" s="19">
      <c r="A34" s="30" t="inlineStr">
        <is>
          <t>G3</t>
        </is>
      </c>
      <c r="B34" s="30" t="inlineStr">
        <is>
          <t>G. Packaging</t>
        </is>
      </c>
      <c r="C34" s="30" t="inlineStr">
        <is>
          <t>Build the PPT (12-15 slides)</t>
        </is>
      </c>
      <c r="D34" s="35" t="inlineStr">
        <is>
          <t>You + Claude</t>
        </is>
      </c>
      <c r="E34" s="30" t="n"/>
      <c r="F34" s="32" t="n">
        <v>490</v>
      </c>
      <c r="G34" s="32" t="n">
        <v>50</v>
      </c>
      <c r="H34" s="33">
        <f>$C$2+F34/1440</f>
        <v/>
      </c>
      <c r="I34" s="33">
        <f>H34+G34/1440</f>
        <v/>
      </c>
      <c r="J34" s="30" t="inlineStr">
        <is>
          <t>deliverables/presentation.pptx</t>
        </is>
      </c>
      <c r="K34" s="30" t="inlineStr">
        <is>
          <t>Deliverable</t>
        </is>
      </c>
      <c r="L34" s="30" t="inlineStr">
        <is>
          <t>Covers problem to results, with figures</t>
        </is>
      </c>
      <c r="M34" s="30" t="inlineStr">
        <is>
          <t>Done</t>
        </is>
      </c>
      <c r="N34" s="30" t="n"/>
    </row>
    <row r="35" ht="15" customHeight="1" s="19">
      <c r="A35" s="30" t="inlineStr">
        <is>
          <t>G4</t>
        </is>
      </c>
      <c r="B35" s="30" t="inlineStr">
        <is>
          <t>G. Packaging</t>
        </is>
      </c>
      <c r="C35" s="30" t="inlineStr">
        <is>
          <t>Compile the final report with figures and references; export PDF</t>
        </is>
      </c>
      <c r="D35" s="31" t="inlineStr">
        <is>
          <t>You</t>
        </is>
      </c>
      <c r="E35" s="30" t="n"/>
      <c r="F35" s="32" t="n">
        <v>540</v>
      </c>
      <c r="G35" s="32" t="n">
        <v>30</v>
      </c>
      <c r="H35" s="33">
        <f>$C$2+F35/1440</f>
        <v/>
      </c>
      <c r="I35" s="33">
        <f>H35+G35/1440</f>
        <v/>
      </c>
      <c r="J35" s="30" t="inlineStr">
        <is>
          <t>deliverables/report.pdf</t>
        </is>
      </c>
      <c r="K35" s="30" t="inlineStr">
        <is>
          <t>All</t>
        </is>
      </c>
      <c r="L35" s="30" t="inlineStr">
        <is>
          <t>All 15 sections present</t>
        </is>
      </c>
      <c r="M35" s="30" t="inlineStr">
        <is>
          <t>Done</t>
        </is>
      </c>
      <c r="N35" s="30" t="n"/>
    </row>
    <row r="36" ht="23.85" customHeight="1" s="19">
      <c r="A36" s="30" t="inlineStr">
        <is>
          <t>H1</t>
        </is>
      </c>
      <c r="B36" s="30" t="inlineStr">
        <is>
          <t>H. Final</t>
        </is>
      </c>
      <c r="C36" s="30" t="inlineStr">
        <is>
          <t>Final QA: re-run main.ipynb, check file names, zip the deliverables folder</t>
        </is>
      </c>
      <c r="D36" s="34" t="inlineStr">
        <is>
          <t>Antigravity</t>
        </is>
      </c>
      <c r="E36" s="30" t="inlineStr">
        <is>
          <t>P12</t>
        </is>
      </c>
      <c r="F36" s="32" t="n">
        <v>570</v>
      </c>
      <c r="G36" s="32" t="n">
        <v>15</v>
      </c>
      <c r="H36" s="33">
        <f>$C$2+F36/1440</f>
        <v/>
      </c>
      <c r="I36" s="33">
        <f>H36+G36/1440</f>
        <v/>
      </c>
      <c r="J36" s="30" t="inlineStr">
        <is>
          <t>deliverables.zip</t>
        </is>
      </c>
      <c r="K36" s="30" t="inlineStr">
        <is>
          <t>All</t>
        </is>
      </c>
      <c r="L36" s="30" t="inlineStr">
        <is>
          <t>Zip contains all five review deliverables</t>
        </is>
      </c>
      <c r="M36" s="30" t="inlineStr">
        <is>
          <t>Done</t>
        </is>
      </c>
      <c r="N36" s="30" t="n"/>
    </row>
    <row r="37" ht="23.85" customHeight="1" s="19">
      <c r="A37" s="30" t="inlineStr">
        <is>
          <t>H2</t>
        </is>
      </c>
      <c r="B37" s="30" t="inlineStr">
        <is>
          <t>H. Final</t>
        </is>
      </c>
      <c r="C37" s="30" t="inlineStr">
        <is>
          <t>Rehearse a 5-minute walkthrough; prepare answers for 'why this model?' and 'what about leakage?'</t>
        </is>
      </c>
      <c r="D37" s="31" t="inlineStr">
        <is>
          <t>You</t>
        </is>
      </c>
      <c r="E37" s="30" t="n"/>
      <c r="F37" s="32" t="n">
        <v>585</v>
      </c>
      <c r="G37" s="32" t="n">
        <v>30</v>
      </c>
      <c r="H37" s="33">
        <f>$C$2+F37/1440</f>
        <v/>
      </c>
      <c r="I37" s="33">
        <f>H37+G37/1440</f>
        <v/>
      </c>
      <c r="J37" s="30" t="n"/>
      <c r="K37" s="30" t="inlineStr">
        <is>
          <t>Deliverable</t>
        </is>
      </c>
      <c r="L37" s="30" t="inlineStr">
        <is>
          <t>You can explain every figure</t>
        </is>
      </c>
      <c r="M37" s="30" t="inlineStr">
        <is>
          <t>Done</t>
        </is>
      </c>
      <c r="N37" s="30" t="n"/>
    </row>
    <row r="38" ht="15" customHeight="1" s="19">
      <c r="A38" s="30" t="inlineStr">
        <is>
          <t>H3</t>
        </is>
      </c>
      <c r="B38" s="30" t="inlineStr">
        <is>
          <t>H. Final</t>
        </is>
      </c>
      <c r="C38" s="30" t="inlineStr">
        <is>
          <t>Buffer for slippage</t>
        </is>
      </c>
      <c r="D38" s="31" t="inlineStr">
        <is>
          <t>You</t>
        </is>
      </c>
      <c r="E38" s="30" t="n"/>
      <c r="F38" s="32" t="n">
        <v>615</v>
      </c>
      <c r="G38" s="32" t="n">
        <v>45</v>
      </c>
      <c r="H38" s="33">
        <f>$C$2+F38/1440</f>
        <v/>
      </c>
      <c r="I38" s="33">
        <f>H38+G38/1440</f>
        <v/>
      </c>
      <c r="J38" s="30" t="n"/>
      <c r="K38" s="30" t="n"/>
      <c r="L38" s="30" t="inlineStr">
        <is>
          <t>Use only if needed</t>
        </is>
      </c>
      <c r="M38" s="30" t="inlineStr">
        <is>
          <t>Done</t>
        </is>
      </c>
      <c r="N38" s="30" t="n"/>
    </row>
    <row r="40" ht="15" customHeight="1" s="19">
      <c r="A40" s="21" t="inlineStr">
        <is>
          <t>Notes</t>
        </is>
      </c>
    </row>
    <row r="41" ht="15" customHeight="1" s="19">
      <c r="A41" s="23" t="inlineStr">
        <is>
          <t>Offsets and durations (blue) are assumptions for a one-day run with Antigravity doing the coding; edit them if your pace differs.</t>
        </is>
      </c>
    </row>
    <row r="42" ht="15" customHeight="1" s="19">
      <c r="A42" s="23" t="inlineStr">
        <is>
          <t>Rows with the same offset can run in parallel (use a second Antigravity agent or a second window).</t>
        </is>
      </c>
    </row>
    <row r="43" ht="15" customHeight="1" s="19">
      <c r="A43" s="23" t="inlineStr">
        <is>
          <t>Prompt IDs refer to the 'Antigravity Prompts' sheet. Project rules live in the 'Project Spec' sheet.</t>
        </is>
      </c>
    </row>
  </sheetData>
  <conditionalFormatting sqref="M7:M38">
    <cfRule type="cellIs" rank="0" priority="2" equalAverage="0" operator="equal" aboveAverage="0" dxfId="0" text="" percent="0" bottom="0">
      <formula>"Done"</formula>
    </cfRule>
    <cfRule type="cellIs" rank="0" priority="3" equalAverage="0" operator="equal" aboveAverage="0" dxfId="1" text="" percent="0" bottom="0">
      <formula>"In progress"</formula>
    </cfRule>
    <cfRule type="cellIs" rank="0" priority="4" equalAverage="0" operator="equal" aboveAverage="0" dxfId="2" text="" percent="0" bottom="0">
      <formula>"Blocked"</formula>
    </cfRule>
  </conditionalFormatting>
  <dataValidations count="1">
    <dataValidation sqref="M7:M38" showDropDown="0" showInputMessage="0" showErrorMessage="0" allowBlank="0" type="list" errorStyle="stop" operator="between">
      <formula1>"Not started,In progress,Done,Blocked"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C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8" min="1" max="1"/>
    <col width="14" customWidth="1" style="18" min="2" max="2"/>
    <col width="120" customWidth="1" style="18" min="3" max="3"/>
  </cols>
  <sheetData>
    <row r="1" ht="17.35" customHeight="1" s="19">
      <c r="A1" s="20" t="inlineStr">
        <is>
          <t>Antigravity prompts (paste one per task; each starts from the Project Spec)</t>
        </is>
      </c>
    </row>
    <row r="3" ht="15" customHeight="1" s="19">
      <c r="A3" s="29" t="inlineStr">
        <is>
          <t>Prompt ID</t>
        </is>
      </c>
      <c r="B3" s="29" t="inlineStr">
        <is>
          <t>Used in task</t>
        </is>
      </c>
      <c r="C3" s="29" t="inlineStr">
        <is>
          <t>Prompt (copy the whole cell)</t>
        </is>
      </c>
    </row>
    <row r="4" ht="35.05" customHeight="1" s="19">
      <c r="A4" s="36" t="inlineStr">
        <is>
          <t>P0</t>
        </is>
      </c>
      <c r="B4" s="30" t="inlineStr">
        <is>
          <t>A3</t>
        </is>
      </c>
      <c r="C4" s="30" t="inlineStr">
        <is>
          <t>Read SPEC.md. Create the folder structure from the 'Project Structure' section, a virtual environment, and requirements.txt (pandas, numpy, scikit-learn, matplotlib, seaborn, joblib, jupyter). Initialise git with a .gitignore that excludes the venv and models/. Confirm the environment installs and the raw CSV in data/raw/ loads.</t>
        </is>
      </c>
    </row>
    <row r="5" ht="57.45" customHeight="1" s="19">
      <c r="A5" s="36" t="inlineStr">
        <is>
          <t>P1</t>
        </is>
      </c>
      <c r="B5" s="30" t="inlineStr">
        <is>
          <t>B1</t>
        </is>
      </c>
      <c r="C5" s="30" t="inlineStr">
        <is>
          <t>Load the CSV in data/raw/. Write a data audit to reports/data_audit.md: shape, column names and dtypes, missing values per column, duplicate row count, describe() for numeric columns, unique value counts for categorical columns, and examples of messy text values (mileage, engine, max_power, torque). Do not modify the raw data.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6" ht="46.25" customHeight="1" s="19">
      <c r="A6" s="36" t="inlineStr">
        <is>
          <t>P2</t>
        </is>
      </c>
      <c r="B6" s="30" t="inlineStr">
        <is>
          <t>B2</t>
        </is>
      </c>
      <c r="C6" s="30" t="inlineStr">
        <is>
          <t>Create EDA figures from the raw data: price distribution (raw and log1p), price vs year, price vs km_driven, price by fuel, transmission and owner (boxplots), and a correlation heatmap of numeric columns. Save as figures/eda_*.png with clear titles and axis labels.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7" ht="57.45" customHeight="1" s="19">
      <c r="A7" s="36" t="inlineStr">
        <is>
          <t>P3</t>
        </is>
      </c>
      <c r="B7" s="30" t="inlineStr">
        <is>
          <t>C1</t>
        </is>
      </c>
      <c r="C7" s="30" t="inlineStr">
        <is>
          <t>In src/features.py write a function that: strips units from mileage, engine and max_power and converts them to floats; extracts brand from the car name and groups brands with fewer than 20 cars as 'Other'; creates car_age (2026 minus year) and km_per_year; and handles torque as documented in reports/decisions.md. Return a cleaned DataFrame and print dtypes and null counts before and after.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8" ht="68.65000000000001" customHeight="1" s="19">
      <c r="A8" s="36" t="inlineStr">
        <is>
          <t>P4</t>
        </is>
      </c>
      <c r="B8" s="30" t="inlineStr">
        <is>
          <t>C2</t>
        </is>
      </c>
      <c r="C8" s="30" t="inlineStr">
        <is>
          <t>In src/preprocess.py: split train/test 80/20 FIRST (random_state=42). Then, using training data only: cap outliers in km_driven and engineered numeric columns at the 1st and 99th percentiles, impute numeric with median and categorical with mode, one-hot encode categoricals (handle_unknown='ignore'), and standardise numeric columns for linear models only. Use log1p(selling_price) as the target. Build this as a scikit-learn ColumnTransformer inside Pipelines. Save data/processed/train.csv and test.csv and print missing-value and outlier counts before vs after.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9" ht="57.45" customHeight="1" s="19">
      <c r="A9" s="36" t="inlineStr">
        <is>
          <t>P5</t>
        </is>
      </c>
      <c r="B9" s="30" t="inlineStr">
        <is>
          <t>D1, D2</t>
        </is>
      </c>
      <c r="C9" s="30" t="inlineStr">
        <is>
          <t>Write src/train_linear.py. Train Linear Regression, Ridge and Lasso using the preprocessing pipeline. Tune Ridge and Lasso alpha with GridSearchCV (5-fold, alpha in logspace -3 to 3). Report CV R², CV RMSE, test R², test RMSE and test MAE on both the log scale and the rupee scale. Save results to results/ridge_lasso.json.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0" ht="57.45" customHeight="1" s="19">
      <c r="A10" s="36" t="inlineStr">
        <is>
          <t>P6</t>
        </is>
      </c>
      <c r="B10" s="30" t="inlineStr">
        <is>
          <t>D3, D4, D5</t>
        </is>
      </c>
      <c r="C10" s="30" t="inlineStr">
        <is>
          <t>Write src/train_trees.py. Train Decision Tree, Random Forest and Gradient Boosting regressors with RandomizedSearchCV (5-fold, n_iter=20, scoring R²) over sensible grids. Report the same metrics as the linear models and save each to results/*.json. Keep runtime under 20 minutes by limiting grid size.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1" ht="46.25" customHeight="1" s="19">
      <c r="A11" s="36" t="inlineStr">
        <is>
          <t>P7</t>
        </is>
      </c>
      <c r="B11" s="30" t="inlineStr">
        <is>
          <t>D6</t>
        </is>
      </c>
      <c r="C11" s="30" t="inlineStr">
        <is>
          <t>Merge all results into results/model_comparison.csv with one row per model: model, best params, CV R², test R², RMSE and MAE (log and rupee scale). Save each fitted pipeline with joblib to models/. Print the table sorted by test R².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2" ht="46.25" customHeight="1" s="19">
      <c r="A12" s="36" t="inlineStr">
        <is>
          <t>P8</t>
        </is>
      </c>
      <c r="B12" s="30" t="inlineStr">
        <is>
          <t>E1</t>
        </is>
      </c>
      <c r="C12" s="30" t="inlineStr">
        <is>
          <t>Using the saved models and test set: draw a bar chart comparing models, residual plots, and predicted vs actual scatter for the two best models. Save as figures/eval_*.png. Check that figure numbers match results/model_comparison.csv.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3" ht="57.45" customHeight="1" s="19">
      <c r="A13" s="36" t="inlineStr">
        <is>
          <t>P9</t>
        </is>
      </c>
      <c r="B13" s="30" t="inlineStr">
        <is>
          <t>E2</t>
        </is>
      </c>
      <c r="C13" s="30" t="inlineStr">
        <is>
          <t>Plot Ridge vs Lasso coefficients (and count the coefficients Lasso set to zero), Random Forest and Gradient Boosting feature importances (top 15), and permutation importance on the test set for the best model. Save as figures/interp_*.png and write the top 10 features per model to results/top_features.csv.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4" ht="57.45" customHeight="1" s="19">
      <c r="A14" s="36" t="inlineStr">
        <is>
          <t>P10</t>
        </is>
      </c>
      <c r="B14" s="30" t="inlineStr">
        <is>
          <t>E3</t>
        </is>
      </c>
      <c r="C14" s="30" t="inlineStr">
        <is>
          <t>Compute test error by price band, brand group and age band for the best model and save to results/error_analysis.csv. Then run an ablation: retrain the best model without car_age and km_per_year and compare test R² and RMSE; save to results/ablation.csv. Write three plain-English findings to reports/findings.md.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5" ht="57.45" customHeight="1" s="19">
      <c r="A15" s="36" t="inlineStr">
        <is>
          <t>P11</t>
        </is>
      </c>
      <c r="B15" s="30" t="inlineStr">
        <is>
          <t>G1</t>
        </is>
      </c>
      <c r="C15" s="30" t="inlineStr">
        <is>
          <t>Create notebooks/main.ipynb that imports from src/ and runs the full pipeline top to bottom: load, audit, features, preprocess, train, evaluate, figures. Use markdown cells to label each stage. It must work in Google Colab (include a first cell that installs requirements and handles file paths). Restart and run all to confirm no errors.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row r="16" ht="57.45" customHeight="1" s="19">
      <c r="A16" s="36" t="inlineStr">
        <is>
          <t>P12</t>
        </is>
      </c>
      <c r="B16" s="30" t="inlineStr">
        <is>
          <t>G2, H1</t>
        </is>
      </c>
      <c r="C16" s="30" t="inlineStr">
        <is>
          <t>Part 1: write data/sample/sample_100.csv as a random 100-row sample of the raw data (random_state=42). Part 2 (final QA): re-run notebooks/main.ipynb from scratch, list every file in figures/, results/, reports/ and deliverables/, flag anything missing from the 'Deliverables' checklist in SPEC.md, and create deliverables.zip with the report, PPT, literature table, sample data and diagram. Follow SPEC.md exactly. Run from the repo root. Fit every transformer on the training split only. Use random_state=42. Save every figure at 200 dpi in figures/. When finished, run what you wrote, then append a short summary of what you did and the key numbers to reports/decisions.md.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8" min="1" max="1"/>
    <col width="110" customWidth="1" style="18" min="2" max="2"/>
  </cols>
  <sheetData>
    <row r="1" ht="17.35" customHeight="1" s="19">
      <c r="A1" s="20" t="inlineStr">
        <is>
          <t>Project Spec (paste this into SPEC.md so every Antigravity agent follows the same rules)</t>
        </is>
      </c>
    </row>
    <row r="3" ht="15" customHeight="1" s="19">
      <c r="A3" s="29" t="inlineStr">
        <is>
          <t>Setting</t>
        </is>
      </c>
      <c r="B3" s="29" t="inlineStr">
        <is>
          <t>Value</t>
        </is>
      </c>
    </row>
    <row r="4" ht="15" customHeight="1" s="19">
      <c r="A4" s="36" t="inlineStr">
        <is>
          <t>Project</t>
        </is>
      </c>
      <c r="B4" s="30" t="inlineStr">
        <is>
          <t>Used car price prediction (regression) for the ML course project at VIT-AP</t>
        </is>
      </c>
    </row>
    <row r="5" ht="15" customHeight="1" s="19">
      <c r="A5" s="36" t="inlineStr">
        <is>
          <t>Dataset</t>
        </is>
      </c>
      <c r="B5" s="30" t="inlineStr">
        <is>
          <t>CarDekho used car dataset (Kaggle); confirm the exact file name after download and record rows and columns in reports/data_audit.md</t>
        </is>
      </c>
    </row>
    <row r="6" ht="15" customHeight="1" s="19">
      <c r="A6" s="36" t="inlineStr">
        <is>
          <t>Task</t>
        </is>
      </c>
      <c r="B6" s="30" t="inlineStr">
        <is>
          <t>Regression</t>
        </is>
      </c>
    </row>
    <row r="7" ht="15" customHeight="1" s="19">
      <c r="A7" s="36" t="inlineStr">
        <is>
          <t>Target</t>
        </is>
      </c>
      <c r="B7" s="30" t="inlineStr">
        <is>
          <t>selling_price, modelled as log1p(selling_price); report metrics on both log and rupee scale</t>
        </is>
      </c>
    </row>
    <row r="8" ht="15" customHeight="1" s="19">
      <c r="A8" s="36" t="inlineStr">
        <is>
          <t>Random seed</t>
        </is>
      </c>
      <c r="B8" s="30" t="inlineStr">
        <is>
          <t>42 (everywhere)</t>
        </is>
      </c>
    </row>
    <row r="9" ht="15" customHeight="1" s="19">
      <c r="A9" s="36" t="inlineStr">
        <is>
          <t>Train/test split</t>
        </is>
      </c>
      <c r="B9" s="30" t="inlineStr">
        <is>
          <t>80/20, done BEFORE any imputation, capping or scaling</t>
        </is>
      </c>
    </row>
    <row r="10" ht="15" customHeight="1" s="19">
      <c r="A10" s="36" t="inlineStr">
        <is>
          <t>Cross-validation</t>
        </is>
      </c>
      <c r="B10" s="30" t="inlineStr">
        <is>
          <t>5-fold KFold, shuffle=True, random_state=42, on the training set only</t>
        </is>
      </c>
    </row>
    <row r="11" ht="15" customHeight="1" s="19">
      <c r="A11" s="36" t="inlineStr">
        <is>
          <t>Models</t>
        </is>
      </c>
      <c r="B11" s="30" t="inlineStr">
        <is>
          <t>Linear Regression (baseline), Ridge, Lasso, Decision Tree, Random Forest, Gradient Boosting</t>
        </is>
      </c>
    </row>
    <row r="12" ht="15" customHeight="1" s="19">
      <c r="A12" s="36" t="inlineStr">
        <is>
          <t>Metrics</t>
        </is>
      </c>
      <c r="B12" s="30" t="inlineStr">
        <is>
          <t>R², RMSE, MAE (log and rupee scale)</t>
        </is>
      </c>
    </row>
    <row r="13" ht="23.85" customHeight="1" s="19">
      <c r="A13" s="36" t="inlineStr">
        <is>
          <t>Preprocessing</t>
        </is>
      </c>
      <c r="B13" s="30" t="inlineStr">
        <is>
          <t>Parse unit strings to numbers; brand from name; car_age; km_per_year; median/mode imputation; 1st-99th percentile capping on training data; one-hot encoding; scaling for linear models only</t>
        </is>
      </c>
    </row>
    <row r="14" ht="15" customHeight="1" s="19">
      <c r="A14" s="36" t="inlineStr">
        <is>
          <t>Libraries</t>
        </is>
      </c>
      <c r="B14" s="30" t="inlineStr">
        <is>
          <t>Python 3, NumPy, Pandas, scikit-learn, Matplotlib, Seaborn, joblib, Jupyter/Colab</t>
        </is>
      </c>
    </row>
    <row r="15" ht="15" customHeight="1" s="19">
      <c r="A15" s="36" t="inlineStr">
        <is>
          <t>Leakage rule</t>
        </is>
      </c>
      <c r="B15" s="30" t="inlineStr">
        <is>
          <t>Every transformer, cap threshold and imputer is fit on training data only</t>
        </is>
      </c>
    </row>
    <row r="16" ht="15" customHeight="1" s="19">
      <c r="A16" s="36" t="inlineStr">
        <is>
          <t>Reproducibility</t>
        </is>
      </c>
      <c r="B16" s="30" t="inlineStr">
        <is>
          <t>Every script runs from the repo root; notebooks/main.ipynb runs top to bottom</t>
        </is>
      </c>
    </row>
    <row r="17" ht="15" customHeight="1" s="19">
      <c r="A17" s="36" t="inlineStr">
        <is>
          <t>Figures</t>
        </is>
      </c>
      <c r="B17" s="30" t="inlineStr">
        <is>
          <t>Saved to figures/ at 200 dpi, titled, axes labelled</t>
        </is>
      </c>
    </row>
    <row r="18" ht="15" customHeight="1" s="19">
      <c r="A18" s="36" t="inlineStr">
        <is>
          <t>Decision log</t>
        </is>
      </c>
      <c r="B18" s="30" t="inlineStr">
        <is>
          <t>Every decision and key number goes in reports/decisions.md as one line</t>
        </is>
      </c>
    </row>
    <row r="19" ht="15" customHeight="1" s="19">
      <c r="A19" s="36" t="inlineStr">
        <is>
          <t>Do not</t>
        </is>
      </c>
      <c r="B19" s="30" t="inlineStr">
        <is>
          <t>Edit data/raw/, hard-code numbers into the report, or tune on the test set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8" min="1" max="1"/>
    <col width="60" customWidth="1" style="18" min="2" max="2"/>
    <col width="14" customWidth="1" style="18" min="3" max="3"/>
  </cols>
  <sheetData>
    <row r="1" ht="17.35" customHeight="1" s="19">
      <c r="A1" s="20" t="inlineStr">
        <is>
          <t>Repository structure</t>
        </is>
      </c>
    </row>
    <row r="3" ht="15" customHeight="1" s="19">
      <c r="A3" s="29" t="inlineStr">
        <is>
          <t>Path</t>
        </is>
      </c>
      <c r="B3" s="29" t="inlineStr">
        <is>
          <t>Purpose</t>
        </is>
      </c>
      <c r="C3" s="29" t="inlineStr">
        <is>
          <t>Created in</t>
        </is>
      </c>
    </row>
    <row r="4" ht="15" customHeight="1" s="19">
      <c r="A4" s="36" t="inlineStr">
        <is>
          <t>SPEC.md</t>
        </is>
      </c>
      <c r="B4" s="30" t="inlineStr">
        <is>
          <t>Project rules for every agent (from 'Project Spec')</t>
        </is>
      </c>
      <c r="C4" s="30" t="inlineStr">
        <is>
          <t>A2</t>
        </is>
      </c>
    </row>
    <row r="5" ht="15" customHeight="1" s="19">
      <c r="A5" s="36" t="inlineStr">
        <is>
          <t>requirements.txt</t>
        </is>
      </c>
      <c r="B5" s="30" t="inlineStr">
        <is>
          <t>Python dependencies</t>
        </is>
      </c>
      <c r="C5" s="30" t="inlineStr">
        <is>
          <t>A3</t>
        </is>
      </c>
    </row>
    <row r="6" ht="15" customHeight="1" s="19">
      <c r="A6" s="36" t="inlineStr">
        <is>
          <t>data/raw/</t>
        </is>
      </c>
      <c r="B6" s="30" t="inlineStr">
        <is>
          <t>Original CSV; never edited</t>
        </is>
      </c>
      <c r="C6" s="30" t="inlineStr">
        <is>
          <t>A1</t>
        </is>
      </c>
    </row>
    <row r="7" ht="15" customHeight="1" s="19">
      <c r="A7" s="36" t="inlineStr">
        <is>
          <t>data/processed/</t>
        </is>
      </c>
      <c r="B7" s="30" t="inlineStr">
        <is>
          <t>train.csv and test.csv after preprocessing</t>
        </is>
      </c>
      <c r="C7" s="30" t="inlineStr">
        <is>
          <t>C2</t>
        </is>
      </c>
    </row>
    <row r="8" ht="15" customHeight="1" s="19">
      <c r="A8" s="36" t="inlineStr">
        <is>
          <t>data/sample/</t>
        </is>
      </c>
      <c r="B8" s="30" t="inlineStr">
        <is>
          <t>sample_100.csv for submission</t>
        </is>
      </c>
      <c r="C8" s="30" t="inlineStr">
        <is>
          <t>G2</t>
        </is>
      </c>
    </row>
    <row r="9" ht="15" customHeight="1" s="19">
      <c r="A9" s="36" t="inlineStr">
        <is>
          <t>src/features.py</t>
        </is>
      </c>
      <c r="B9" s="30" t="inlineStr">
        <is>
          <t>Parsing and feature creation</t>
        </is>
      </c>
      <c r="C9" s="30" t="inlineStr">
        <is>
          <t>C1</t>
        </is>
      </c>
    </row>
    <row r="10" ht="15" customHeight="1" s="19">
      <c r="A10" s="36" t="inlineStr">
        <is>
          <t>src/preprocess.py</t>
        </is>
      </c>
      <c r="B10" s="30" t="inlineStr">
        <is>
          <t>Split, outlier capping, imputation, encoding, scaling</t>
        </is>
      </c>
      <c r="C10" s="30" t="inlineStr">
        <is>
          <t>C2</t>
        </is>
      </c>
    </row>
    <row r="11" ht="15" customHeight="1" s="19">
      <c r="A11" s="36" t="inlineStr">
        <is>
          <t>src/train_linear.py</t>
        </is>
      </c>
      <c r="B11" s="30" t="inlineStr">
        <is>
          <t>Linear, Ridge, Lasso</t>
        </is>
      </c>
      <c r="C11" s="30" t="inlineStr">
        <is>
          <t>D1-D2</t>
        </is>
      </c>
    </row>
    <row r="12" ht="15" customHeight="1" s="19">
      <c r="A12" s="36" t="inlineStr">
        <is>
          <t>src/train_trees.py</t>
        </is>
      </c>
      <c r="B12" s="30" t="inlineStr">
        <is>
          <t>Decision Tree, Random Forest, Gradient Boosting</t>
        </is>
      </c>
      <c r="C12" s="30" t="inlineStr">
        <is>
          <t>D3-D5</t>
        </is>
      </c>
    </row>
    <row r="13" ht="15" customHeight="1" s="19">
      <c r="A13" s="36" t="inlineStr">
        <is>
          <t>models/</t>
        </is>
      </c>
      <c r="B13" s="30" t="inlineStr">
        <is>
          <t>Saved fitted pipelines (.joblib)</t>
        </is>
      </c>
      <c r="C13" s="30" t="inlineStr">
        <is>
          <t>D6</t>
        </is>
      </c>
    </row>
    <row r="14" ht="15" customHeight="1" s="19">
      <c r="A14" s="36" t="inlineStr">
        <is>
          <t>results/</t>
        </is>
      </c>
      <c r="B14" s="30" t="inlineStr">
        <is>
          <t>JSON and CSV outputs, including model_comparison.csv</t>
        </is>
      </c>
      <c r="C14" s="30" t="inlineStr">
        <is>
          <t>D1-E3</t>
        </is>
      </c>
    </row>
    <row r="15" ht="15" customHeight="1" s="19">
      <c r="A15" s="36" t="inlineStr">
        <is>
          <t>figures/</t>
        </is>
      </c>
      <c r="B15" s="30" t="inlineStr">
        <is>
          <t>All EDA, evaluation and interpretation figures</t>
        </is>
      </c>
      <c r="C15" s="30" t="inlineStr">
        <is>
          <t>B2-E3</t>
        </is>
      </c>
    </row>
    <row r="16" ht="15" customHeight="1" s="19">
      <c r="A16" s="36" t="inlineStr">
        <is>
          <t>reports/</t>
        </is>
      </c>
      <c r="B16" s="30" t="inlineStr">
        <is>
          <t>data_audit.md, decisions.md, findings.md</t>
        </is>
      </c>
      <c r="C16" s="30" t="inlineStr">
        <is>
          <t>B1-E4</t>
        </is>
      </c>
    </row>
    <row r="17" ht="15" customHeight="1" s="19">
      <c r="A17" s="36" t="inlineStr">
        <is>
          <t>notebooks/main.ipynb</t>
        </is>
      </c>
      <c r="B17" s="30" t="inlineStr">
        <is>
          <t>Full pipeline for Jupyter/Colab</t>
        </is>
      </c>
      <c r="C17" s="30" t="inlineStr">
        <is>
          <t>G1</t>
        </is>
      </c>
    </row>
    <row r="18" ht="15" customHeight="1" s="19">
      <c r="A18" s="36" t="inlineStr">
        <is>
          <t>docs/</t>
        </is>
      </c>
      <c r="B18" s="30" t="inlineStr">
        <is>
          <t>Literature table and report drafts</t>
        </is>
      </c>
      <c r="C18" s="30" t="inlineStr">
        <is>
          <t>L1-F4</t>
        </is>
      </c>
    </row>
    <row r="19" ht="15" customHeight="1" s="19">
      <c r="A19" s="36" t="inlineStr">
        <is>
          <t>deliverables/</t>
        </is>
      </c>
      <c r="B19" s="30" t="inlineStr">
        <is>
          <t>Final report, PPT, diagram, zip</t>
        </is>
      </c>
      <c r="C19" s="30" t="inlineStr">
        <is>
          <t>G3-H1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8" min="1" max="1"/>
    <col width="20" customWidth="1" style="18" min="2" max="2"/>
    <col width="22" customWidth="1" style="18" min="3" max="3"/>
    <col width="14" customWidth="1" style="18" min="4" max="4"/>
  </cols>
  <sheetData>
    <row r="1" ht="17.35" customHeight="1" s="19">
      <c r="A1" s="20" t="inlineStr">
        <is>
          <t>Deliverables checklist</t>
        </is>
      </c>
    </row>
    <row r="2" ht="15" customHeight="1" s="19">
      <c r="A2" s="21" t="inlineStr">
        <is>
          <t>Done</t>
        </is>
      </c>
      <c r="B2" s="25">
        <f>COUNTIF(D5:D24,"Done")&amp;" of "&amp;COUNTA(A5:A24)&amp;" items done"</f>
        <v/>
      </c>
    </row>
    <row r="4" ht="15" customHeight="1" s="19">
      <c r="A4" s="29" t="inlineStr">
        <is>
          <t>Item</t>
        </is>
      </c>
      <c r="B4" s="29" t="inlineStr">
        <is>
          <t>Type</t>
        </is>
      </c>
      <c r="C4" s="29" t="inlineStr">
        <is>
          <t>Linked tasks</t>
        </is>
      </c>
      <c r="D4" s="29" t="inlineStr">
        <is>
          <t>Status</t>
        </is>
      </c>
    </row>
    <row r="5" ht="15" customHeight="1" s="19">
      <c r="A5" s="30" t="inlineStr">
        <is>
          <t>PPT presentation</t>
        </is>
      </c>
      <c r="B5" s="30" t="inlineStr">
        <is>
          <t>Review deliverable</t>
        </is>
      </c>
      <c r="C5" s="30" t="inlineStr">
        <is>
          <t>G3</t>
        </is>
      </c>
      <c r="D5" s="30" t="inlineStr">
        <is>
          <t>Done</t>
        </is>
      </c>
    </row>
    <row r="6" ht="15" customHeight="1" s="19">
      <c r="A6" s="30" t="inlineStr">
        <is>
          <t>Project proposal (report)</t>
        </is>
      </c>
      <c r="B6" s="30" t="inlineStr">
        <is>
          <t>Review deliverable</t>
        </is>
      </c>
      <c r="C6" s="30" t="inlineStr">
        <is>
          <t>F1-F4, W1, G4</t>
        </is>
      </c>
      <c r="D6" s="30" t="inlineStr">
        <is>
          <t>Done</t>
        </is>
      </c>
    </row>
    <row r="7" ht="15" customHeight="1" s="19">
      <c r="A7" s="30" t="inlineStr">
        <is>
          <t>Literature survey table</t>
        </is>
      </c>
      <c r="B7" s="30" t="inlineStr">
        <is>
          <t>Review deliverable</t>
        </is>
      </c>
      <c r="C7" s="30" t="inlineStr">
        <is>
          <t>L1</t>
        </is>
      </c>
      <c r="D7" s="30" t="inlineStr">
        <is>
          <t>Done</t>
        </is>
      </c>
    </row>
    <row r="8" ht="15" customHeight="1" s="19">
      <c r="A8" s="30" t="inlineStr">
        <is>
          <t>Dataset / sample data</t>
        </is>
      </c>
      <c r="B8" s="30" t="inlineStr">
        <is>
          <t>Review deliverable</t>
        </is>
      </c>
      <c r="C8" s="30" t="inlineStr">
        <is>
          <t>G2</t>
        </is>
      </c>
      <c r="D8" s="30" t="inlineStr">
        <is>
          <t>Done</t>
        </is>
      </c>
    </row>
    <row r="9" ht="15" customHeight="1" s="19">
      <c r="A9" s="30" t="inlineStr">
        <is>
          <t>Architecture / workflow diagram</t>
        </is>
      </c>
      <c r="B9" s="30" t="inlineStr">
        <is>
          <t>Review deliverable</t>
        </is>
      </c>
      <c r="C9" s="30" t="inlineStr">
        <is>
          <t>F2</t>
        </is>
      </c>
      <c r="D9" s="30" t="inlineStr">
        <is>
          <t>Done</t>
        </is>
      </c>
    </row>
    <row r="10" ht="15" customHeight="1" s="19">
      <c r="A10" s="30" t="inlineStr">
        <is>
          <t>1. Project Title</t>
        </is>
      </c>
      <c r="B10" s="30" t="inlineStr">
        <is>
          <t>Report section</t>
        </is>
      </c>
      <c r="C10" s="30" t="inlineStr">
        <is>
          <t>W1</t>
        </is>
      </c>
      <c r="D10" s="30" t="inlineStr">
        <is>
          <t>Done</t>
        </is>
      </c>
    </row>
    <row r="11" ht="15" customHeight="1" s="19">
      <c r="A11" s="30" t="inlineStr">
        <is>
          <t>2. Problem Statement</t>
        </is>
      </c>
      <c r="B11" s="30" t="inlineStr">
        <is>
          <t>Report section</t>
        </is>
      </c>
      <c r="C11" s="30" t="inlineStr">
        <is>
          <t>W1</t>
        </is>
      </c>
      <c r="D11" s="30" t="inlineStr">
        <is>
          <t>Done</t>
        </is>
      </c>
    </row>
    <row r="12" ht="15" customHeight="1" s="19">
      <c r="A12" s="30" t="inlineStr">
        <is>
          <t>3. Motivation</t>
        </is>
      </c>
      <c r="B12" s="30" t="inlineStr">
        <is>
          <t>Report section</t>
        </is>
      </c>
      <c r="C12" s="30" t="inlineStr">
        <is>
          <t>W1</t>
        </is>
      </c>
      <c r="D12" s="30" t="inlineStr">
        <is>
          <t>Done</t>
        </is>
      </c>
    </row>
    <row r="13" ht="15" customHeight="1" s="19">
      <c r="A13" s="30" t="inlineStr">
        <is>
          <t>4. Objectives</t>
        </is>
      </c>
      <c r="B13" s="30" t="inlineStr">
        <is>
          <t>Report section</t>
        </is>
      </c>
      <c r="C13" s="30" t="inlineStr">
        <is>
          <t>W1</t>
        </is>
      </c>
      <c r="D13" s="30" t="inlineStr">
        <is>
          <t>Done</t>
        </is>
      </c>
    </row>
    <row r="14" ht="15" customHeight="1" s="19">
      <c r="A14" s="30" t="inlineStr">
        <is>
          <t>5. Literature Survey</t>
        </is>
      </c>
      <c r="B14" s="30" t="inlineStr">
        <is>
          <t>Report section</t>
        </is>
      </c>
      <c r="C14" s="30" t="inlineStr">
        <is>
          <t>L1</t>
        </is>
      </c>
      <c r="D14" s="30" t="inlineStr">
        <is>
          <t>Done</t>
        </is>
      </c>
    </row>
    <row r="15" ht="15" customHeight="1" s="19">
      <c r="A15" s="30" t="inlineStr">
        <is>
          <t>6. Existing System</t>
        </is>
      </c>
      <c r="B15" s="30" t="inlineStr">
        <is>
          <t>Report section</t>
        </is>
      </c>
      <c r="C15" s="30" t="inlineStr">
        <is>
          <t>W1</t>
        </is>
      </c>
      <c r="D15" s="30" t="inlineStr">
        <is>
          <t>Done</t>
        </is>
      </c>
    </row>
    <row r="16" ht="15" customHeight="1" s="19">
      <c r="A16" s="30" t="inlineStr">
        <is>
          <t>7. Proposed System</t>
        </is>
      </c>
      <c r="B16" s="30" t="inlineStr">
        <is>
          <t>Report section</t>
        </is>
      </c>
      <c r="C16" s="30" t="inlineStr">
        <is>
          <t>W1</t>
        </is>
      </c>
      <c r="D16" s="30" t="inlineStr">
        <is>
          <t>Done</t>
        </is>
      </c>
    </row>
    <row r="17" ht="15" customHeight="1" s="19">
      <c r="A17" s="30" t="inlineStr">
        <is>
          <t>8. Dataset Description</t>
        </is>
      </c>
      <c r="B17" s="30" t="inlineStr">
        <is>
          <t>Report section</t>
        </is>
      </c>
      <c r="C17" s="30" t="inlineStr">
        <is>
          <t>B1, F1</t>
        </is>
      </c>
      <c r="D17" s="30" t="inlineStr">
        <is>
          <t>Done</t>
        </is>
      </c>
    </row>
    <row r="18" ht="15" customHeight="1" s="19">
      <c r="A18" s="30" t="inlineStr">
        <is>
          <t>9. Data Preprocessing Plan</t>
        </is>
      </c>
      <c r="B18" s="30" t="inlineStr">
        <is>
          <t>Report section</t>
        </is>
      </c>
      <c r="C18" s="30" t="inlineStr">
        <is>
          <t>C1-C2, F1</t>
        </is>
      </c>
      <c r="D18" s="30" t="inlineStr">
        <is>
          <t>Done</t>
        </is>
      </c>
    </row>
    <row r="19" ht="15" customHeight="1" s="19">
      <c r="A19" s="30" t="inlineStr">
        <is>
          <t>10. ML Algorithms Proposed</t>
        </is>
      </c>
      <c r="B19" s="30" t="inlineStr">
        <is>
          <t>Report section</t>
        </is>
      </c>
      <c r="C19" s="30" t="inlineStr">
        <is>
          <t>D1-D5, F1</t>
        </is>
      </c>
      <c r="D19" s="30" t="inlineStr">
        <is>
          <t>Done</t>
        </is>
      </c>
    </row>
    <row r="20" ht="15" customHeight="1" s="19">
      <c r="A20" s="30" t="inlineStr">
        <is>
          <t>11. System / Methodology Architecture</t>
        </is>
      </c>
      <c r="B20" s="30" t="inlineStr">
        <is>
          <t>Report section</t>
        </is>
      </c>
      <c r="C20" s="30" t="inlineStr">
        <is>
          <t>F2</t>
        </is>
      </c>
      <c r="D20" s="30" t="inlineStr">
        <is>
          <t>Done</t>
        </is>
      </c>
    </row>
    <row r="21" ht="15" customHeight="1" s="19">
      <c r="A21" s="30" t="inlineStr">
        <is>
          <t>12. Proposed Workflow</t>
        </is>
      </c>
      <c r="B21" s="30" t="inlineStr">
        <is>
          <t>Report section</t>
        </is>
      </c>
      <c r="C21" s="30" t="inlineStr">
        <is>
          <t>F2</t>
        </is>
      </c>
      <c r="D21" s="30" t="inlineStr">
        <is>
          <t>Done</t>
        </is>
      </c>
    </row>
    <row r="22" ht="15" customHeight="1" s="19">
      <c r="A22" s="30" t="inlineStr">
        <is>
          <t>13. Expected Results</t>
        </is>
      </c>
      <c r="B22" s="30" t="inlineStr">
        <is>
          <t>Report section</t>
        </is>
      </c>
      <c r="C22" s="30" t="inlineStr">
        <is>
          <t>E1-E4, F3</t>
        </is>
      </c>
      <c r="D22" s="30" t="inlineStr">
        <is>
          <t>Done</t>
        </is>
      </c>
    </row>
    <row r="23" ht="15" customHeight="1" s="19">
      <c r="A23" s="30" t="inlineStr">
        <is>
          <t>14. Tools &amp; Technologies</t>
        </is>
      </c>
      <c r="B23" s="30" t="inlineStr">
        <is>
          <t>Report section</t>
        </is>
      </c>
      <c r="C23" s="30" t="inlineStr">
        <is>
          <t>A3, F4</t>
        </is>
      </c>
      <c r="D23" s="30" t="inlineStr">
        <is>
          <t>Done</t>
        </is>
      </c>
    </row>
    <row r="24" ht="15" customHeight="1" s="19">
      <c r="A24" s="30" t="inlineStr">
        <is>
          <t>15. Project Timeline</t>
        </is>
      </c>
      <c r="B24" s="30" t="inlineStr">
        <is>
          <t>Report section</t>
        </is>
      </c>
      <c r="C24" s="30" t="inlineStr">
        <is>
          <t>F4</t>
        </is>
      </c>
      <c r="D24" s="30" t="inlineStr">
        <is>
          <t>Done</t>
        </is>
      </c>
    </row>
  </sheetData>
  <conditionalFormatting sqref="D5:D24">
    <cfRule type="cellIs" rank="0" priority="2" equalAverage="0" operator="equal" aboveAverage="0" dxfId="0" text="" percent="0" bottom="0">
      <formula>"Done"</formula>
    </cfRule>
    <cfRule type="cellIs" rank="0" priority="3" equalAverage="0" operator="equal" aboveAverage="0" dxfId="1" text="" percent="0" bottom="0">
      <formula>"In progress"</formula>
    </cfRule>
    <cfRule type="cellIs" rank="0" priority="4" equalAverage="0" operator="equal" aboveAverage="0" dxfId="2" text="" percent="0" bottom="0">
      <formula>"Blocked"</formula>
    </cfRule>
  </conditionalFormatting>
  <dataValidations count="1">
    <dataValidation sqref="D5:D24" showDropDown="0" showInputMessage="0" showErrorMessage="0" allowBlank="0" type="list" errorStyle="stop" operator="between">
      <formula1>"Not started,In progress,Done,Blocked"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2026-10-15T09:21:30Z</dcterms:created>
  <dcterms:modified xmlns:dcterms="http://purl.org/dc/terms/" xmlns:xsi="http://www.w3.org/2001/XMLSchema-instance" xsi:type="dcterms:W3CDTF">2026-10-15T09:56:19Z</dcterms:modified>
  <cp:revision>0</cp:revision>
</cp:coreProperties>
</file>